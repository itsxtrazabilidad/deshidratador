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ndon said salas\Downloads\"/>
    </mc:Choice>
  </mc:AlternateContent>
  <xr:revisionPtr revIDLastSave="0" documentId="8_{B39E2B47-E988-4981-8474-A9D2847E128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erfil del consumidor " sheetId="1" r:id="rId1"/>
    <sheet name="evaluación sensorial" sheetId="6" r:id="rId2"/>
    <sheet name="percepcion comercial, precios y" sheetId="9" r:id="rId3"/>
    <sheet name="Comentarios y cierre" sheetId="2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6" l="1"/>
  <c r="G4" i="6"/>
  <c r="G6" i="6"/>
  <c r="G7" i="6"/>
  <c r="G8" i="6"/>
  <c r="B29" i="9"/>
  <c r="B13" i="9"/>
  <c r="B6" i="9"/>
  <c r="B22" i="1"/>
  <c r="B15" i="1"/>
  <c r="B9" i="1"/>
</calcChain>
</file>

<file path=xl/sharedStrings.xml><?xml version="1.0" encoding="utf-8"?>
<sst xmlns="http://schemas.openxmlformats.org/spreadsheetml/2006/main" count="116" uniqueCount="109">
  <si>
    <r>
      <rPr>
        <b/>
        <sz val="12"/>
        <color rgb="FF1F1F1F"/>
        <rFont val="Times New Roman"/>
        <family val="1"/>
      </rPr>
      <t xml:space="preserve">¡Bienvenido! </t>
    </r>
    <r>
      <rPr>
        <sz val="12"/>
        <color rgb="FF1F1F1F"/>
        <rFont val="Times New Roman"/>
        <family val="1"/>
      </rPr>
      <t xml:space="preserve">Estás por evaluar un snack sustentable, elaborado artesanalmente con energía solar por productores de Veracruz. Tu opinión nos ayudará a impulsar el comercio local y ecológico.  </t>
    </r>
    <r>
      <rPr>
        <i/>
        <sz val="12"/>
        <color rgb="FF1F1F1F"/>
        <rFont val="Times New Roman"/>
        <family val="1"/>
      </rPr>
      <t xml:space="preserve">Por  favor,  responde  de  manera  honesta  marcando  con  una  </t>
    </r>
    <r>
      <rPr>
        <b/>
        <i/>
        <sz val="12"/>
        <color rgb="FF1F1F1F"/>
        <rFont val="Times New Roman"/>
        <family val="1"/>
      </rPr>
      <t xml:space="preserve">X  </t>
    </r>
    <r>
      <rPr>
        <i/>
        <sz val="12"/>
        <color rgb="FF1F1F1F"/>
        <rFont val="Times New Roman"/>
        <family val="1"/>
      </rPr>
      <t xml:space="preserve">dentro  de  las casillas </t>
    </r>
    <r>
      <rPr>
        <sz val="11.5"/>
        <color rgb="FF1F1F1F"/>
        <rFont val="Courier New"/>
        <family val="3"/>
      </rPr>
      <t>[ ]</t>
    </r>
    <r>
      <rPr>
        <i/>
        <sz val="12"/>
        <color rgb="FF1F1F1F"/>
        <rFont val="Times New Roman"/>
        <family val="1"/>
      </rPr>
      <t>.</t>
    </r>
  </si>
  <si>
    <r>
      <rPr>
        <b/>
        <sz val="12"/>
        <color rgb="FF1F1F1F"/>
        <rFont val="Times New Roman"/>
        <family val="1"/>
      </rPr>
      <t>3. ¿Con qué frecuencia consume snacks saludables o fruta deshidratada?</t>
    </r>
  </si>
  <si>
    <r>
      <rPr>
        <b/>
        <sz val="12"/>
        <color rgb="FF1F1F1F"/>
        <rFont val="Times New Roman"/>
        <family val="1"/>
      </rPr>
      <t>Atributo</t>
    </r>
  </si>
  <si>
    <r>
      <rPr>
        <b/>
        <sz val="12"/>
        <color rgb="FF1F1F1F"/>
        <rFont val="Times New Roman"/>
        <family val="1"/>
      </rPr>
      <t>Me gusta mucho [ 5 ]</t>
    </r>
  </si>
  <si>
    <r>
      <rPr>
        <b/>
        <sz val="12"/>
        <color rgb="FF1F1F1F"/>
        <rFont val="Times New Roman"/>
        <family val="1"/>
      </rPr>
      <t>Apariencia (Color/Forma)</t>
    </r>
  </si>
  <si>
    <r>
      <rPr>
        <b/>
        <sz val="12"/>
        <color rgb="FF1F1F1F"/>
        <rFont val="Times New Roman"/>
        <family val="1"/>
      </rPr>
      <t>Aroma</t>
    </r>
  </si>
  <si>
    <r>
      <rPr>
        <b/>
        <sz val="12"/>
        <color rgb="FF1F1F1F"/>
        <rFont val="Times New Roman"/>
        <family val="1"/>
      </rPr>
      <t>Sabor</t>
    </r>
  </si>
  <si>
    <r>
      <rPr>
        <b/>
        <sz val="12"/>
        <color rgb="FF1F1F1F"/>
        <rFont val="Times New Roman"/>
        <family val="1"/>
      </rPr>
      <t>Textura (Consistencia)</t>
    </r>
  </si>
  <si>
    <r>
      <rPr>
        <b/>
        <sz val="12"/>
        <color rgb="FF1F1F1F"/>
        <rFont val="Times New Roman"/>
        <family val="1"/>
      </rPr>
      <t>Aceptación General</t>
    </r>
  </si>
  <si>
    <r>
      <rPr>
        <b/>
        <sz val="13.5"/>
        <color rgb="FF1F1F1F"/>
        <rFont val="Times New Roman"/>
        <family val="1"/>
      </rPr>
      <t>III. PERCEPCIÓN COMERCIAL, PRECIOS Y DISTRIBUCIÓN</t>
    </r>
  </si>
  <si>
    <r>
      <rPr>
        <b/>
        <sz val="12"/>
        <color rgb="FF1F1F1F"/>
        <rFont val="Times New Roman"/>
        <family val="1"/>
      </rPr>
      <t>1.  Saber  que  este  producto  es  elaborado  por  productores  veracruzanos  utilizando energía solar (sustentable), ¿influye positivamente en su decisión de compra?</t>
    </r>
  </si>
  <si>
    <r>
      <rPr>
        <b/>
        <sz val="12"/>
        <color rgb="FF1F1F1F"/>
        <rFont val="Times New Roman"/>
        <family val="1"/>
      </rPr>
      <t>2.  ¿Cuánto  estaría  dispuesto  a  pagar  por  una  presentación  de  50  gramos  de  este producto?</t>
    </r>
  </si>
  <si>
    <r>
      <rPr>
        <b/>
        <sz val="12"/>
        <color rgb="FF1F1F1F"/>
        <rFont val="Times New Roman"/>
        <family val="1"/>
      </rPr>
      <t xml:space="preserve">3.  ¿En  qué  lugares  le  gustaría  encontrar   y  comprar  habitualmente  este  snack sustentable? </t>
    </r>
    <r>
      <rPr>
        <i/>
        <sz val="12"/>
        <color rgb="FF1F1F1F"/>
        <rFont val="Times New Roman"/>
        <family val="1"/>
      </rPr>
      <t>(Puede marcar más de una opción)</t>
    </r>
  </si>
  <si>
    <r>
      <rPr>
        <b/>
        <sz val="12"/>
        <color rgb="FF1F1F1F"/>
        <rFont val="Times New Roman"/>
        <family val="1"/>
      </rPr>
      <t>4. Si este snack estuviera disponible hoy en el mercado, ¿lo compraría?</t>
    </r>
  </si>
  <si>
    <r>
      <rPr>
        <b/>
        <sz val="12"/>
        <color rgb="FF1F1F1F"/>
        <rFont val="Times New Roman"/>
        <family val="1"/>
      </rPr>
      <t>Comentarios                adicionales                (Sugerencias                de                mejora):</t>
    </r>
  </si>
  <si>
    <t>18 a 25 años</t>
  </si>
  <si>
    <t xml:space="preserve"> 26 a 35 años </t>
  </si>
  <si>
    <t>36 a 50 años</t>
  </si>
  <si>
    <t>Más de 50 años</t>
  </si>
  <si>
    <r>
      <rPr>
        <b/>
        <sz val="12"/>
        <color rgb="FF1F1F1F"/>
        <rFont val="Times New Roman"/>
        <family val="1"/>
      </rPr>
      <t xml:space="preserve">1. Rango de Edad </t>
    </r>
    <r>
      <rPr>
        <sz val="12"/>
        <color rgb="FF1F1F1F"/>
        <rFont val="Times New Roman"/>
        <family val="1"/>
      </rPr>
      <t/>
    </r>
  </si>
  <si>
    <t>Columna1</t>
  </si>
  <si>
    <t>Femenino</t>
  </si>
  <si>
    <t>Masculino</t>
  </si>
  <si>
    <t>Otro / Prefiero no decir</t>
  </si>
  <si>
    <r>
      <rPr>
        <b/>
        <sz val="12"/>
        <color rgb="FF1F1F1F"/>
        <rFont val="Times New Roman"/>
        <family val="1"/>
      </rPr>
      <t>2. Género</t>
    </r>
    <r>
      <rPr>
        <sz val="11.5"/>
        <color rgb="FF1F1F1F"/>
        <rFont val="Courier New"/>
        <family val="3"/>
      </rPr>
      <t xml:space="preserve"> </t>
    </r>
    <r>
      <rPr>
        <sz val="12"/>
        <color rgb="FF1F1F1F"/>
        <rFont val="Times New Roman"/>
        <family val="1"/>
      </rPr>
      <t/>
    </r>
  </si>
  <si>
    <t>2 a 3 veces por semana</t>
  </si>
  <si>
    <t>Una vez al mes</t>
  </si>
  <si>
    <t>Raramente</t>
  </si>
  <si>
    <t>Diariamente</t>
  </si>
  <si>
    <r>
      <rPr>
        <sz val="12"/>
        <color rgb="FF1F1F1F"/>
        <rFont val="Times New Roman"/>
        <family val="1"/>
      </rPr>
      <t xml:space="preserve">
</t>
    </r>
    <r>
      <rPr>
        <b/>
        <sz val="13.5"/>
        <color rgb="FF1F1F1F"/>
        <rFont val="Times New Roman"/>
        <family val="1"/>
      </rPr>
      <t>II. EVALUACIÓN SENSORIAL (Prueba Hedónica)</t>
    </r>
  </si>
  <si>
    <t>Tal vez, me es indiferente</t>
  </si>
  <si>
    <t>No, no influye</t>
  </si>
  <si>
    <t xml:space="preserve">Sí, por completo </t>
  </si>
  <si>
    <t>Entre $41 y $55 MXN</t>
  </si>
  <si>
    <t>Entre $56 y $75 MXN</t>
  </si>
  <si>
    <t xml:space="preserve">Entre $27 y $40 MXN </t>
  </si>
  <si>
    <t>Supermercados (Chedraui, Walmart, etc.)</t>
  </si>
  <si>
    <t>Tiendas naturistas / Cooperativas locales de Xalapa</t>
  </si>
  <si>
    <t>Cafeterías y máquinas expendedoras escolares/laborales</t>
  </si>
  <si>
    <t>Plataformas digitales / Redes sociales con entrega a domicilio</t>
  </si>
  <si>
    <t xml:space="preserve"> Tiendas de conveniencia (Oxxo, Fasti, X24)</t>
  </si>
  <si>
    <r>
      <rPr>
        <sz val="12"/>
        <color rgb="FF1F1F1F"/>
        <rFont val="Times New Roman"/>
        <family val="1"/>
      </rPr>
      <t xml:space="preserve">
</t>
    </r>
    <r>
      <rPr>
        <b/>
        <sz val="13.5"/>
        <color rgb="FF1F1F1F"/>
        <rFont val="Times New Roman"/>
        <family val="1"/>
      </rPr>
      <t>IV. COMENTARIOS Y CIERRE</t>
    </r>
  </si>
  <si>
    <t xml:space="preserve">Sí </t>
  </si>
  <si>
    <t>No</t>
  </si>
  <si>
    <t xml:space="preserve">Tal vez </t>
  </si>
  <si>
    <r>
      <t>I.</t>
    </r>
    <r>
      <rPr>
        <b/>
        <sz val="7"/>
        <color rgb="FF1F1F1F"/>
        <rFont val="Times New Roman"/>
        <family val="1"/>
      </rPr>
      <t xml:space="preserve">      </t>
    </r>
    <r>
      <rPr>
        <b/>
        <sz val="13.5"/>
        <color rgb="FF1F1F1F"/>
        <rFont val="Times New Roman"/>
        <family val="1"/>
      </rPr>
      <t>EVALUACIÓN SENSORIAL (Prueba Hedónica)</t>
    </r>
  </si>
  <si>
    <t xml:space="preserve">Me disgusta mucho
</t>
  </si>
  <si>
    <t xml:space="preserve">Me disgusta </t>
  </si>
  <si>
    <t xml:space="preserve">Ni me gusta /Ni me disgusta </t>
  </si>
  <si>
    <t>Me gusta</t>
  </si>
  <si>
    <r>
      <rPr>
        <b/>
        <sz val="12"/>
        <color rgb="FF1F1F1F"/>
        <rFont val="Times New Roman"/>
        <family val="1"/>
      </rPr>
      <t xml:space="preserve">Código de Muestra: </t>
    </r>
    <r>
      <rPr>
        <b/>
        <u/>
        <sz val="12"/>
        <color rgb="FF1F1F1F"/>
        <rFont val="Times New Roman"/>
        <family val="1"/>
      </rPr>
      <t xml:space="preserve">                                 </t>
    </r>
    <r>
      <rPr>
        <b/>
        <sz val="12"/>
        <color rgb="FF1F1F1F"/>
        <rFont val="Times New Roman"/>
        <family val="1"/>
      </rPr>
      <t xml:space="preserve">Fecha: </t>
    </r>
    <r>
      <rPr>
        <b/>
        <u/>
        <sz val="12"/>
        <color rgb="FF1F1F1F"/>
        <rFont val="Times New Roman"/>
        <family val="1"/>
      </rPr>
      <t>         </t>
    </r>
    <r>
      <rPr>
        <sz val="12"/>
        <color rgb="FF1F1F1F"/>
        <rFont val="Times New Roman"/>
        <family val="1"/>
      </rPr>
      <t xml:space="preserve">/ </t>
    </r>
    <r>
      <rPr>
        <u/>
        <sz val="12"/>
        <color rgb="FF1F1F1F"/>
        <rFont val="Times New Roman"/>
        <family val="1"/>
      </rPr>
      <t>         </t>
    </r>
    <r>
      <rPr>
        <sz val="12"/>
        <color rgb="FF1F1F1F"/>
        <rFont val="Times New Roman"/>
        <family val="1"/>
      </rPr>
      <t xml:space="preserve">/ 2026
</t>
    </r>
    <r>
      <rPr>
        <b/>
        <sz val="13.5"/>
        <color rgb="FF1F1F1F"/>
        <rFont val="Times New Roman"/>
        <family val="1"/>
      </rPr>
      <t xml:space="preserve">I. PERFIL DEL CONSUMIDOR </t>
    </r>
  </si>
  <si>
    <t>10.-seria buena idea que este completamente deshidratada,considero que asi se puede agregar piña con chile, es buena idea.</t>
  </si>
  <si>
    <t>1.-hechale ganitas.</t>
  </si>
  <si>
    <t>2.-nada, muy rico.</t>
  </si>
  <si>
    <t>3.-rico sabor, buena presentacion.</t>
  </si>
  <si>
    <t>4.-buena, para fruts variaciones, que le añadan chile y limon.</t>
  </si>
  <si>
    <t>5.-sin sugerencias, muy buen producto.</t>
  </si>
  <si>
    <t>6.-que la deshidratacion sea homogenea en la porcion.</t>
  </si>
  <si>
    <t>7.-es buena, pero deberian deshidratar mas.</t>
  </si>
  <si>
    <t>8.-estuvieran con algun sasonador.</t>
  </si>
  <si>
    <t>9.-la presentacion del producto.</t>
  </si>
  <si>
    <t>11.-todo bien</t>
  </si>
  <si>
    <t>12.-para mi gusto, necesitaria mas dulce</t>
  </si>
  <si>
    <t>13.-estaria bien hacerlo mas atractivamente visual</t>
  </si>
  <si>
    <t>14.-esta muy buena, solo que era necesario que estuviera un poco mas deshidratada, asi mismi pueden usar otras formas mas atractivas.</t>
  </si>
  <si>
    <t>19.-buen sabor y textura.</t>
  </si>
  <si>
    <t>18.-estaba un poco chicloso, pero en mi opinon un poco menos chicloso.</t>
  </si>
  <si>
    <t>17.-tiene un buen sabor y una buena textura.</t>
  </si>
  <si>
    <t>16.-sabe buena.</t>
  </si>
  <si>
    <t>15.-un poco mas dulce.</t>
  </si>
  <si>
    <t>20.-esta rico, no me gusta la piña pero sabia bueno.</t>
  </si>
  <si>
    <t>21.-tiene buen sabor y olor pero su textura se siente rara, por que no la hacen tipo textura como las malangas, asi tendria mejor sensasion.</t>
  </si>
  <si>
    <t>22.-que este mejor deshidratada.</t>
  </si>
  <si>
    <t>23.-requiera una mejora en la presentacion.</t>
  </si>
  <si>
    <t>24.-considero que debe estar mas deshidratada ya que si se embolsa se podria generar hongo o moho.</t>
  </si>
  <si>
    <t>25.-sabe mucho azucar y menos a piña.</t>
  </si>
  <si>
    <t>26.-mejorar la presentacion, ya que se ve rara su apariencia.</t>
  </si>
  <si>
    <t>27.-sabe bueno</t>
  </si>
  <si>
    <t>28.-falta deshidratarlo, estaria cool que fuera como unas chips de piña, esta rico.</t>
  </si>
  <si>
    <t>29.-esta muy dulce.</t>
  </si>
  <si>
    <t>30.-nada, en si el producto esta muy bueno, solo que tuviera una buena presentacion.</t>
  </si>
  <si>
    <t>31.-muy buen producto.</t>
  </si>
  <si>
    <t>32.-me gustaria un snack un poco mas solido y en piezas mas pequeñas.</t>
  </si>
  <si>
    <t>33.-esta bien bueno, sabe chido.</t>
  </si>
  <si>
    <t>34.-muy rica.</t>
  </si>
  <si>
    <t>35.-mejorar apariencia.</t>
  </si>
  <si>
    <t>36.-todo bien.</t>
  </si>
  <si>
    <t>37.-acompañar con una presentacion picante.</t>
  </si>
  <si>
    <t>38.-podria ser una mejor presentacion.</t>
  </si>
  <si>
    <t>39.-agregar un sabor extra a la piña deshidratada.</t>
  </si>
  <si>
    <t>40.-mejorar cuestiones sobre lo crujiente del producto.</t>
  </si>
  <si>
    <t>41.-excelente producto.</t>
  </si>
  <si>
    <t>42.-esta delicioso.</t>
  </si>
  <si>
    <t>43.-podrian agregar cubiertas como tajin y chocolate.</t>
  </si>
  <si>
    <t>45.-esta rica la piña,para mi gusto, hubiera preferido un poco mas deshidratado.</t>
  </si>
  <si>
    <t>46.-no me supo a fruta seca, esta muy rico, crei que traia canela.</t>
  </si>
  <si>
    <t>47.-me gustaria que estuviera mas deshidratada.</t>
  </si>
  <si>
    <t>48.-muy buen producto.</t>
  </si>
  <si>
    <t>49.-esta muy rico.</t>
  </si>
  <si>
    <t>50.- tal vez una presentacion con picante o de mayor tamaño.</t>
  </si>
  <si>
    <t>51.-esta rico.</t>
  </si>
  <si>
    <t>52.-me imagine otra textura (seca).</t>
  </si>
  <si>
    <t>53.-todo bien, gracias buen trabajo bien elaborado.</t>
  </si>
  <si>
    <t>54.-muy bueno.</t>
  </si>
  <si>
    <t>55.-todo muy rico.</t>
  </si>
  <si>
    <t>56.-sabe muy bien.</t>
  </si>
  <si>
    <t>57.-agregar picor.</t>
  </si>
  <si>
    <t>58.-todo bien.</t>
  </si>
  <si>
    <t>42 personas sin comentarios.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</si>
</sst>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b/>
      <sz val="12"/>
      <name val="Times New Roman"/>
    </font>
    <font>
      <sz val="11.5"/>
      <name val="Courier New"/>
    </font>
    <font>
      <b/>
      <sz val="13.5"/>
      <name val="Times New Roman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i/>
      <sz val="12"/>
      <color rgb="FF1F1F1F"/>
      <name val="Times New Roman"/>
      <family val="1"/>
    </font>
    <font>
      <b/>
      <i/>
      <sz val="12"/>
      <color rgb="FF1F1F1F"/>
      <name val="Times New Roman"/>
      <family val="1"/>
    </font>
    <font>
      <sz val="11.5"/>
      <color rgb="FF1F1F1F"/>
      <name val="Courier New"/>
      <family val="3"/>
    </font>
    <font>
      <b/>
      <u/>
      <sz val="12"/>
      <color rgb="FF1F1F1F"/>
      <name val="Times New Roman"/>
      <family val="1"/>
    </font>
    <font>
      <u/>
      <sz val="12"/>
      <color rgb="FF1F1F1F"/>
      <name val="Times New Roman"/>
      <family val="1"/>
    </font>
    <font>
      <b/>
      <sz val="13.5"/>
      <color rgb="FF1F1F1F"/>
      <name val="Times New Roman"/>
      <family val="1"/>
    </font>
    <font>
      <sz val="10"/>
      <color rgb="FF1F1F1F"/>
      <name val="Times New Roman"/>
      <family val="1"/>
      <charset val="204"/>
    </font>
    <font>
      <sz val="10"/>
      <color rgb="FF1F1F1F"/>
      <name val="Times New Roman"/>
      <family val="1"/>
    </font>
    <font>
      <sz val="10"/>
      <color rgb="FF000000"/>
      <name val="Times New Roman"/>
      <family val="1"/>
    </font>
    <font>
      <b/>
      <sz val="7"/>
      <color rgb="FF1F1F1F"/>
      <name val="Times New Roman"/>
      <family val="1"/>
    </font>
    <font>
      <sz val="12"/>
      <color rgb="FF1F1F1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4C6C5"/>
      </left>
      <right style="thin">
        <color rgb="FFC4C6C5"/>
      </right>
      <top style="thin">
        <color rgb="FFC4C6C5"/>
      </top>
      <bottom style="thin">
        <color rgb="FFC4C6C5"/>
      </bottom>
      <diagonal/>
    </border>
    <border>
      <left style="thin">
        <color rgb="FFC4C6C5"/>
      </left>
      <right style="thin">
        <color rgb="FFC4C6C5"/>
      </right>
      <top/>
      <bottom style="thin">
        <color rgb="FFC4C6C5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/>
    </xf>
    <xf numFmtId="0" fontId="11" fillId="0" borderId="0" xfId="0" applyFont="1" applyAlignment="1">
      <alignment horizontal="left" vertical="center" indent="4"/>
    </xf>
    <xf numFmtId="0" fontId="16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C4C6C5"/>
        </left>
        <right style="thin">
          <color rgb="FFC4C6C5"/>
        </right>
        <top style="thin">
          <color rgb="FFC4C6C5"/>
        </top>
        <bottom style="thin">
          <color rgb="FFC4C6C5"/>
        </bottom>
        <vertical/>
        <horizontal/>
      </border>
    </dxf>
    <dxf>
      <border outline="0">
        <top style="thin">
          <color rgb="FFC4C6C5"/>
        </top>
      </border>
    </dxf>
    <dxf>
      <border outline="0">
        <bottom style="thin">
          <color rgb="FFC4C6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C4C6C5"/>
        </left>
        <right style="thin">
          <color rgb="FFC4C6C5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2220E-B1F9-4825-97FE-D45B9DE492EE}" name="Tabla1" displayName="Tabla1" ref="A4:B9" totalsRowCount="1">
  <autoFilter ref="A4:B8" xr:uid="{0F92220E-B1F9-4825-97FE-D45B9DE492EE}"/>
  <tableColumns count="2">
    <tableColumn id="1" xr3:uid="{59111B48-37D6-4E5B-90AF-10E9D37725E0}" name="1. Rango de Edad "/>
    <tableColumn id="2" xr3:uid="{8EC81FA1-9A3D-46A8-9F4E-90D4878D6DA1}" name="Columna1" totalsRowFunction="custom">
      <totalsRowFormula>SUM(Tabla1[Columna1])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4FE356-F948-48A2-BB8E-293AEB7D8E1D}" name="Tabla2" displayName="Tabla2" ref="A11:B15" totalsRowCount="1">
  <autoFilter ref="A11:B14" xr:uid="{314FE356-F948-48A2-BB8E-293AEB7D8E1D}"/>
  <tableColumns count="2">
    <tableColumn id="1" xr3:uid="{2D8F97F0-84CB-4882-A151-B55D546C5732}" name="2. Género "/>
    <tableColumn id="2" xr3:uid="{F95CA3E3-A6D1-40F1-88DF-CD3548AD2612}" name="Columna1" totalsRowFunction="custom">
      <totalsRowFormula>SUM(Tabla2[Columna1])</totalsRowFormula>
    </tableColumn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20596B-95DD-4929-9F24-35082C5E8899}" name="Tabla3" displayName="Tabla3" ref="A17:B22" totalsRowCount="1">
  <autoFilter ref="A17:B21" xr:uid="{7420596B-95DD-4929-9F24-35082C5E8899}"/>
  <tableColumns count="2">
    <tableColumn id="1" xr3:uid="{DBD3C6A6-C9C5-4041-96E4-68693B7259BE}" name="3. ¿Con qué frecuencia consume snacks saludables o fruta deshidratada?"/>
    <tableColumn id="2" xr3:uid="{21FFD2A6-1BB8-499A-8F11-2F7CCDDC7C90}" name="Columna1" totalsRowFunction="custom">
      <totalsRowFormula>SUM(Tabla3[Columna1])</totalsRowFormula>
    </tableColumn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F5B534-4A82-4D0C-BF96-68F685739483}" name="Tabla5" displayName="Tabla5" ref="A3:G8" totalsRowShown="0" headerRowDxfId="7" headerRowBorderDxfId="6" tableBorderDxfId="5">
  <autoFilter ref="A3:G8" xr:uid="{38F5B534-4A82-4D0C-BF96-68F685739483}"/>
  <tableColumns count="7">
    <tableColumn id="1" xr3:uid="{4199ED9B-51F4-4085-A503-3B649D3FB6E3}" name="Atributo" dataDxfId="4"/>
    <tableColumn id="2" xr3:uid="{CE68B7A2-D5DE-47E7-994A-03B3E911AA4C}" name="Me disgusta mucho_x000a_"/>
    <tableColumn id="3" xr3:uid="{0E332E1D-5811-42F6-A2A6-26A2E233CBBC}" name="Me disgusta "/>
    <tableColumn id="4" xr3:uid="{0AB0C1B5-7F65-467D-86CE-D1C1FE9F63AE}" name="Ni me gusta /Ni me disgusta "/>
    <tableColumn id="5" xr3:uid="{D0F4523D-9D75-4ED5-9D8A-B53BAC7DE8CB}" name="Me gusta"/>
    <tableColumn id="6" xr3:uid="{3ECE88C5-AFF9-4B8C-9A94-2D08ADEE93B5}" name="Me gusta mucho [ 5 ]"/>
    <tableColumn id="7" xr3:uid="{99C72653-BBB5-4E98-ABE6-B6AE2C06CB07}" name="Columna1" dataDxfId="3">
      <calculatedColumnFormula>SUM(Tabla5[[#This Row],[Me disgusta mucho
]:[Me gusta mucho '[ 5 ']]])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43EE73-9237-4E6B-9CA9-F052207C91C5}" name="Tabla6" displayName="Tabla6" ref="A2:B6" totalsRowCount="1">
  <autoFilter ref="A2:B5" xr:uid="{A943EE73-9237-4E6B-9CA9-F052207C91C5}"/>
  <tableColumns count="2">
    <tableColumn id="1" xr3:uid="{90D7DEB4-0E51-4B24-B907-36E3D2DC2969}" name="1.  Saber  que  este  producto  es  elaborado  por  productores  veracruzanos  utilizando energía solar (sustentable), ¿influye positivamente en su decisión de compra?"/>
    <tableColumn id="2" xr3:uid="{EF15C23C-069A-48F5-BE40-7983218B9D6A}" name="Columna1" totalsRowFunction="custom">
      <totalsRowFormula>SUM(Tabla6[Columna1])</totalsRowFormula>
    </tableColumn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354EA3-84DE-48B3-8659-E650DA0A3536}" name="Tabla7" displayName="Tabla7" ref="A9:B13" totalsRowCount="1">
  <autoFilter ref="A9:B12" xr:uid="{F6354EA3-84DE-48B3-8659-E650DA0A3536}"/>
  <tableColumns count="2">
    <tableColumn id="1" xr3:uid="{10A3C21E-6EB5-40C9-870A-EC4CF3FF2DC1}" name="2.  ¿Cuánto  estaría  dispuesto  a  pagar  por  una  presentación  de  50  gramos  de  este producto?"/>
    <tableColumn id="2" xr3:uid="{BF880DEF-BC8D-4298-9BA5-77054AD6CC69}" name="Columna1" totalsRowFunction="custom">
      <totalsRowFormula>SUM(Tabla7[Columna1])</totalsRow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94820C-64F5-436E-958F-39B939E22882}" name="Tabla8" displayName="Tabla8" ref="A16:B21" totalsRowShown="0">
  <autoFilter ref="A16:B21" xr:uid="{9994820C-64F5-436E-958F-39B939E22882}"/>
  <tableColumns count="2">
    <tableColumn id="1" xr3:uid="{4828E804-A88D-4FA1-925D-53715CCF6B37}" name="3.  ¿En  qué  lugares  le  gustaría  encontrar   y  comprar  habitualmente  este  snack sustentable? (Puede marcar más de una opción)" dataDxfId="2"/>
    <tableColumn id="2" xr3:uid="{1CEED359-3F33-4B8D-A15D-DCD78CE0E172}" name="Columna1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0ADD35-8316-46A3-BE80-AD012DD35076}" name="Tabla9" displayName="Tabla9" ref="A25:B29" totalsRowCount="1">
  <autoFilter ref="A25:B28" xr:uid="{6D0ADD35-8316-46A3-BE80-AD012DD35076}"/>
  <tableColumns count="2">
    <tableColumn id="1" xr3:uid="{ACD57E3B-A632-4CC0-99B6-CAC300D44257}" name="4. Si este snack estuviera disponible hoy en el mercado, ¿lo compraría?" dataDxfId="1" totalsRowDxfId="0"/>
    <tableColumn id="2" xr3:uid="{5224D36B-EAA4-4EC9-BE17-7A47AE6B8310}" name="Columna1" totalsRowFunction="custom">
      <totalsRowFormula>SUM(Tabla9[Columna1])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opLeftCell="A2" workbookViewId="0">
      <selection activeCell="B14" sqref="B14"/>
    </sheetView>
  </sheetViews>
  <sheetFormatPr baseColWidth="10" defaultColWidth="9.33203125" defaultRowHeight="13.2" x14ac:dyDescent="0.25"/>
  <cols>
    <col min="1" max="1" width="105.44140625" customWidth="1"/>
    <col min="2" max="2" width="13" customWidth="1"/>
  </cols>
  <sheetData>
    <row r="1" spans="1:2" ht="60.9" customHeight="1" x14ac:dyDescent="0.25">
      <c r="A1" s="1" t="s">
        <v>0</v>
      </c>
    </row>
    <row r="2" spans="1:2" ht="33" x14ac:dyDescent="0.25">
      <c r="A2" s="9" t="s">
        <v>50</v>
      </c>
    </row>
    <row r="4" spans="1:2" ht="15.6" x14ac:dyDescent="0.25">
      <c r="A4" s="8" t="s">
        <v>19</v>
      </c>
      <c r="B4" t="s">
        <v>20</v>
      </c>
    </row>
    <row r="5" spans="1:2" x14ac:dyDescent="0.25">
      <c r="A5" t="s">
        <v>15</v>
      </c>
      <c r="B5">
        <v>78</v>
      </c>
    </row>
    <row r="6" spans="1:2" x14ac:dyDescent="0.25">
      <c r="A6" t="s">
        <v>16</v>
      </c>
      <c r="B6">
        <v>16</v>
      </c>
    </row>
    <row r="7" spans="1:2" x14ac:dyDescent="0.25">
      <c r="A7" t="s">
        <v>17</v>
      </c>
      <c r="B7">
        <v>5</v>
      </c>
    </row>
    <row r="8" spans="1:2" x14ac:dyDescent="0.25">
      <c r="A8" t="s">
        <v>18</v>
      </c>
      <c r="B8">
        <v>1</v>
      </c>
    </row>
    <row r="9" spans="1:2" x14ac:dyDescent="0.25">
      <c r="B9">
        <f>SUM(Tabla1[Columna1])</f>
        <v>100</v>
      </c>
    </row>
    <row r="11" spans="1:2" ht="15.6" x14ac:dyDescent="0.25">
      <c r="A11" s="7" t="s">
        <v>24</v>
      </c>
      <c r="B11" t="s">
        <v>20</v>
      </c>
    </row>
    <row r="12" spans="1:2" x14ac:dyDescent="0.25">
      <c r="A12" t="s">
        <v>21</v>
      </c>
      <c r="B12">
        <v>34</v>
      </c>
    </row>
    <row r="13" spans="1:2" x14ac:dyDescent="0.25">
      <c r="A13" t="s">
        <v>22</v>
      </c>
      <c r="B13">
        <v>62</v>
      </c>
    </row>
    <row r="14" spans="1:2" x14ac:dyDescent="0.25">
      <c r="A14" t="s">
        <v>23</v>
      </c>
      <c r="B14">
        <v>4</v>
      </c>
    </row>
    <row r="15" spans="1:2" x14ac:dyDescent="0.25">
      <c r="B15">
        <f>SUM(Tabla2[Columna1])</f>
        <v>100</v>
      </c>
    </row>
    <row r="17" spans="1:2" ht="15.6" x14ac:dyDescent="0.25">
      <c r="A17" s="2" t="s">
        <v>1</v>
      </c>
      <c r="B17" t="s">
        <v>20</v>
      </c>
    </row>
    <row r="18" spans="1:2" x14ac:dyDescent="0.25">
      <c r="A18" t="s">
        <v>28</v>
      </c>
      <c r="B18">
        <v>5</v>
      </c>
    </row>
    <row r="19" spans="1:2" x14ac:dyDescent="0.25">
      <c r="A19" t="s">
        <v>25</v>
      </c>
      <c r="B19">
        <v>31</v>
      </c>
    </row>
    <row r="20" spans="1:2" x14ac:dyDescent="0.25">
      <c r="A20" t="s">
        <v>26</v>
      </c>
      <c r="B20">
        <v>21</v>
      </c>
    </row>
    <row r="21" spans="1:2" x14ac:dyDescent="0.25">
      <c r="A21" t="s">
        <v>27</v>
      </c>
      <c r="B21">
        <v>43</v>
      </c>
    </row>
    <row r="22" spans="1:2" x14ac:dyDescent="0.25">
      <c r="B22">
        <f>SUM(Tabla3[Columna1])</f>
        <v>100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topLeftCell="B1" workbookViewId="0">
      <selection activeCell="E13" sqref="E11:E13"/>
    </sheetView>
  </sheetViews>
  <sheetFormatPr baseColWidth="10" defaultColWidth="9.33203125" defaultRowHeight="13.2" x14ac:dyDescent="0.25"/>
  <cols>
    <col min="1" max="1" width="70.77734375" customWidth="1"/>
    <col min="2" max="2" width="24.6640625" customWidth="1"/>
    <col min="3" max="3" width="24.109375" customWidth="1"/>
    <col min="4" max="4" width="34.6640625" customWidth="1"/>
    <col min="5" max="5" width="38.109375" customWidth="1"/>
    <col min="6" max="6" width="43.44140625" customWidth="1"/>
  </cols>
  <sheetData>
    <row r="1" spans="1:7" ht="53.25" customHeight="1" x14ac:dyDescent="0.25">
      <c r="A1" s="9" t="s">
        <v>29</v>
      </c>
      <c r="B1" s="15" t="s">
        <v>45</v>
      </c>
    </row>
    <row r="3" spans="1:7" ht="31.2" x14ac:dyDescent="0.25">
      <c r="A3" s="11" t="s">
        <v>2</v>
      </c>
      <c r="B3" s="16" t="s">
        <v>46</v>
      </c>
      <c r="C3" s="17" t="s">
        <v>47</v>
      </c>
      <c r="D3" s="17" t="s">
        <v>48</v>
      </c>
      <c r="E3" s="17" t="s">
        <v>49</v>
      </c>
      <c r="F3" s="10" t="s">
        <v>3</v>
      </c>
      <c r="G3" s="10" t="s">
        <v>20</v>
      </c>
    </row>
    <row r="4" spans="1:7" ht="15.6" x14ac:dyDescent="0.25">
      <c r="A4" s="3" t="s">
        <v>4</v>
      </c>
      <c r="B4" s="4">
        <v>8</v>
      </c>
      <c r="C4" s="4">
        <v>11</v>
      </c>
      <c r="D4" s="4">
        <v>25</v>
      </c>
      <c r="E4" s="4">
        <v>42</v>
      </c>
      <c r="F4" s="4">
        <v>14</v>
      </c>
      <c r="G4">
        <f>SUM(Tabla5[[#This Row],[Me disgusta mucho
]:[Me gusta mucho '[ 5 ']]])</f>
        <v>100</v>
      </c>
    </row>
    <row r="5" spans="1:7" ht="15.6" x14ac:dyDescent="0.25">
      <c r="A5" s="3" t="s">
        <v>5</v>
      </c>
      <c r="B5" s="5">
        <v>5</v>
      </c>
      <c r="C5" s="5">
        <v>8</v>
      </c>
      <c r="D5" s="5">
        <v>15</v>
      </c>
      <c r="E5" s="5">
        <v>56</v>
      </c>
      <c r="F5" s="5">
        <v>16</v>
      </c>
      <c r="G5">
        <f>SUM(Tabla5[[#This Row],[Me disgusta mucho
]:[Me gusta mucho '[ 5 ']]])</f>
        <v>100</v>
      </c>
    </row>
    <row r="6" spans="1:7" ht="15.6" x14ac:dyDescent="0.25">
      <c r="A6" s="3" t="s">
        <v>6</v>
      </c>
      <c r="B6" s="5">
        <v>9</v>
      </c>
      <c r="C6" s="5">
        <v>6</v>
      </c>
      <c r="D6" s="5">
        <v>9</v>
      </c>
      <c r="E6" s="5">
        <v>39</v>
      </c>
      <c r="F6" s="5">
        <v>37</v>
      </c>
      <c r="G6">
        <f>SUM(Tabla5[[#This Row],[Me disgusta mucho
]:[Me gusta mucho '[ 5 ']]])</f>
        <v>100</v>
      </c>
    </row>
    <row r="7" spans="1:7" ht="15.6" x14ac:dyDescent="0.25">
      <c r="A7" s="3" t="s">
        <v>7</v>
      </c>
      <c r="B7" s="4">
        <v>7</v>
      </c>
      <c r="C7" s="4">
        <v>9</v>
      </c>
      <c r="D7" s="4">
        <v>26</v>
      </c>
      <c r="E7" s="4">
        <v>47</v>
      </c>
      <c r="F7" s="4">
        <v>11</v>
      </c>
      <c r="G7">
        <f>SUM(Tabla5[[#This Row],[Me disgusta mucho
]:[Me gusta mucho '[ 5 ']]])</f>
        <v>100</v>
      </c>
    </row>
    <row r="8" spans="1:7" ht="15.6" x14ac:dyDescent="0.25">
      <c r="A8" s="3" t="s">
        <v>8</v>
      </c>
      <c r="B8" s="4">
        <v>8</v>
      </c>
      <c r="C8" s="4">
        <v>7</v>
      </c>
      <c r="D8" s="4">
        <v>11</v>
      </c>
      <c r="E8" s="4">
        <v>53</v>
      </c>
      <c r="F8" s="4">
        <v>21</v>
      </c>
      <c r="G8">
        <f>SUM(Tabla5[[#This Row],[Me disgusta mucho
]:[Me gusta mucho '[ 5 ']]])</f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9"/>
  <sheetViews>
    <sheetView topLeftCell="A16" zoomScale="110" zoomScaleNormal="110" workbookViewId="0">
      <selection activeCell="A12" sqref="A12"/>
    </sheetView>
  </sheetViews>
  <sheetFormatPr baseColWidth="10" defaultColWidth="9.33203125" defaultRowHeight="13.2" x14ac:dyDescent="0.25"/>
  <cols>
    <col min="1" max="1" width="105.44140625" customWidth="1"/>
    <col min="2" max="2" width="15.109375" customWidth="1"/>
  </cols>
  <sheetData>
    <row r="1" spans="1:2" ht="18.75" customHeight="1" x14ac:dyDescent="0.25">
      <c r="A1" s="6" t="s">
        <v>9</v>
      </c>
    </row>
    <row r="2" spans="1:2" ht="31.2" x14ac:dyDescent="0.25">
      <c r="A2" s="2" t="s">
        <v>10</v>
      </c>
      <c r="B2" t="s">
        <v>20</v>
      </c>
    </row>
    <row r="3" spans="1:2" ht="15.6" x14ac:dyDescent="0.25">
      <c r="A3" s="8" t="s">
        <v>32</v>
      </c>
      <c r="B3">
        <v>47</v>
      </c>
    </row>
    <row r="4" spans="1:2" x14ac:dyDescent="0.25">
      <c r="A4" t="s">
        <v>30</v>
      </c>
      <c r="B4">
        <v>43</v>
      </c>
    </row>
    <row r="5" spans="1:2" x14ac:dyDescent="0.25">
      <c r="A5" t="s">
        <v>31</v>
      </c>
      <c r="B5">
        <v>10</v>
      </c>
    </row>
    <row r="6" spans="1:2" x14ac:dyDescent="0.25">
      <c r="B6">
        <f>SUM(Tabla6[Columna1])</f>
        <v>100</v>
      </c>
    </row>
    <row r="9" spans="1:2" ht="15.6" x14ac:dyDescent="0.25">
      <c r="A9" s="2" t="s">
        <v>11</v>
      </c>
      <c r="B9" t="s">
        <v>20</v>
      </c>
    </row>
    <row r="10" spans="1:2" ht="15.6" x14ac:dyDescent="0.25">
      <c r="A10" s="8" t="s">
        <v>35</v>
      </c>
      <c r="B10">
        <v>65</v>
      </c>
    </row>
    <row r="11" spans="1:2" x14ac:dyDescent="0.25">
      <c r="A11" t="s">
        <v>33</v>
      </c>
      <c r="B11">
        <v>33</v>
      </c>
    </row>
    <row r="12" spans="1:2" x14ac:dyDescent="0.25">
      <c r="A12" t="s">
        <v>34</v>
      </c>
      <c r="B12">
        <v>2</v>
      </c>
    </row>
    <row r="13" spans="1:2" x14ac:dyDescent="0.25">
      <c r="B13">
        <f>SUM(Tabla7[Columna1])</f>
        <v>100</v>
      </c>
    </row>
    <row r="14" spans="1:2" x14ac:dyDescent="0.25">
      <c r="A14" s="1"/>
    </row>
    <row r="16" spans="1:2" ht="31.2" x14ac:dyDescent="0.25">
      <c r="A16" s="8" t="s">
        <v>12</v>
      </c>
      <c r="B16" t="s">
        <v>20</v>
      </c>
    </row>
    <row r="17" spans="1:2" ht="15.6" x14ac:dyDescent="0.25">
      <c r="A17" s="12" t="s">
        <v>36</v>
      </c>
      <c r="B17">
        <v>42</v>
      </c>
    </row>
    <row r="18" spans="1:2" ht="15.6" x14ac:dyDescent="0.25">
      <c r="A18" s="13" t="s">
        <v>40</v>
      </c>
      <c r="B18">
        <v>52</v>
      </c>
    </row>
    <row r="19" spans="1:2" ht="15.6" x14ac:dyDescent="0.25">
      <c r="A19" s="13" t="s">
        <v>37</v>
      </c>
      <c r="B19">
        <v>41</v>
      </c>
    </row>
    <row r="20" spans="1:2" ht="15.6" x14ac:dyDescent="0.25">
      <c r="A20" s="13" t="s">
        <v>38</v>
      </c>
      <c r="B20">
        <v>37</v>
      </c>
    </row>
    <row r="21" spans="1:2" ht="15.6" x14ac:dyDescent="0.25">
      <c r="A21" s="13" t="s">
        <v>39</v>
      </c>
      <c r="B21">
        <v>26</v>
      </c>
    </row>
    <row r="25" spans="1:2" ht="15.6" x14ac:dyDescent="0.25">
      <c r="A25" s="2" t="s">
        <v>13</v>
      </c>
      <c r="B25" t="s">
        <v>20</v>
      </c>
    </row>
    <row r="26" spans="1:2" x14ac:dyDescent="0.25">
      <c r="A26" s="14" t="s">
        <v>42</v>
      </c>
      <c r="B26">
        <v>52</v>
      </c>
    </row>
    <row r="27" spans="1:2" x14ac:dyDescent="0.25">
      <c r="A27" s="14" t="s">
        <v>43</v>
      </c>
      <c r="B27">
        <v>5</v>
      </c>
    </row>
    <row r="28" spans="1:2" x14ac:dyDescent="0.25">
      <c r="A28" s="14" t="s">
        <v>44</v>
      </c>
      <c r="B28">
        <v>43</v>
      </c>
    </row>
    <row r="29" spans="1:2" x14ac:dyDescent="0.25">
      <c r="A29" s="14"/>
      <c r="B29">
        <f>SUM(Tabla9[Columna1])</f>
        <v>100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61"/>
  <sheetViews>
    <sheetView tabSelected="1" workbookViewId="0">
      <selection activeCell="A62" sqref="A62"/>
    </sheetView>
  </sheetViews>
  <sheetFormatPr baseColWidth="10" defaultColWidth="9.33203125" defaultRowHeight="13.2" x14ac:dyDescent="0.25"/>
  <cols>
    <col min="1" max="1" width="105.44140625" customWidth="1"/>
  </cols>
  <sheetData>
    <row r="1" spans="1:1" ht="53.25" customHeight="1" x14ac:dyDescent="0.25">
      <c r="A1" s="9" t="s">
        <v>41</v>
      </c>
    </row>
    <row r="3" spans="1:1" ht="15.6" x14ac:dyDescent="0.25">
      <c r="A3" s="2" t="s">
        <v>14</v>
      </c>
    </row>
    <row r="4" spans="1:1" x14ac:dyDescent="0.25">
      <c r="A4" t="s">
        <v>52</v>
      </c>
    </row>
    <row r="5" spans="1:1" x14ac:dyDescent="0.25">
      <c r="A5" t="s">
        <v>53</v>
      </c>
    </row>
    <row r="6" spans="1:1" x14ac:dyDescent="0.25">
      <c r="A6" t="s">
        <v>54</v>
      </c>
    </row>
    <row r="7" spans="1:1" x14ac:dyDescent="0.25">
      <c r="A7" t="s">
        <v>55</v>
      </c>
    </row>
    <row r="8" spans="1:1" x14ac:dyDescent="0.25">
      <c r="A8" t="s">
        <v>56</v>
      </c>
    </row>
    <row r="9" spans="1:1" x14ac:dyDescent="0.25">
      <c r="A9" t="s">
        <v>57</v>
      </c>
    </row>
    <row r="10" spans="1:1" x14ac:dyDescent="0.25">
      <c r="A10" t="s">
        <v>58</v>
      </c>
    </row>
    <row r="11" spans="1:1" x14ac:dyDescent="0.25">
      <c r="A11" t="s">
        <v>59</v>
      </c>
    </row>
    <row r="12" spans="1:1" x14ac:dyDescent="0.25">
      <c r="A12" t="s">
        <v>60</v>
      </c>
    </row>
    <row r="13" spans="1:1" x14ac:dyDescent="0.25">
      <c r="A13" t="s">
        <v>51</v>
      </c>
    </row>
    <row r="14" spans="1:1" x14ac:dyDescent="0.25">
      <c r="A14" t="s">
        <v>61</v>
      </c>
    </row>
    <row r="15" spans="1:1" x14ac:dyDescent="0.25">
      <c r="A15" t="s">
        <v>62</v>
      </c>
    </row>
    <row r="16" spans="1:1" x14ac:dyDescent="0.25">
      <c r="A16" t="s">
        <v>63</v>
      </c>
    </row>
    <row r="17" spans="1:1" x14ac:dyDescent="0.25">
      <c r="A17" t="s">
        <v>64</v>
      </c>
    </row>
    <row r="18" spans="1:1" x14ac:dyDescent="0.25">
      <c r="A18" t="s">
        <v>69</v>
      </c>
    </row>
    <row r="19" spans="1:1" x14ac:dyDescent="0.25">
      <c r="A19" t="s">
        <v>68</v>
      </c>
    </row>
    <row r="20" spans="1:1" x14ac:dyDescent="0.25">
      <c r="A20" t="s">
        <v>67</v>
      </c>
    </row>
    <row r="21" spans="1:1" x14ac:dyDescent="0.25">
      <c r="A21" t="s">
        <v>66</v>
      </c>
    </row>
    <row r="22" spans="1:1" x14ac:dyDescent="0.25">
      <c r="A22" t="s">
        <v>65</v>
      </c>
    </row>
    <row r="23" spans="1:1" x14ac:dyDescent="0.25">
      <c r="A23" t="s">
        <v>70</v>
      </c>
    </row>
    <row r="24" spans="1:1" x14ac:dyDescent="0.25">
      <c r="A24" t="s">
        <v>71</v>
      </c>
    </row>
    <row r="25" spans="1:1" x14ac:dyDescent="0.25">
      <c r="A25" t="s">
        <v>72</v>
      </c>
    </row>
    <row r="26" spans="1:1" x14ac:dyDescent="0.25">
      <c r="A26" t="s">
        <v>73</v>
      </c>
    </row>
    <row r="27" spans="1:1" x14ac:dyDescent="0.25">
      <c r="A27" t="s">
        <v>74</v>
      </c>
    </row>
    <row r="28" spans="1:1" x14ac:dyDescent="0.25">
      <c r="A28" t="s">
        <v>75</v>
      </c>
    </row>
    <row r="29" spans="1:1" x14ac:dyDescent="0.25">
      <c r="A29" t="s">
        <v>76</v>
      </c>
    </row>
    <row r="30" spans="1:1" x14ac:dyDescent="0.25">
      <c r="A30" t="s">
        <v>77</v>
      </c>
    </row>
    <row r="31" spans="1:1" x14ac:dyDescent="0.25">
      <c r="A31" t="s">
        <v>78</v>
      </c>
    </row>
    <row r="32" spans="1:1" x14ac:dyDescent="0.25">
      <c r="A32" t="s">
        <v>79</v>
      </c>
    </row>
    <row r="33" spans="1:1" x14ac:dyDescent="0.25">
      <c r="A33" t="s">
        <v>80</v>
      </c>
    </row>
    <row r="34" spans="1:1" x14ac:dyDescent="0.25">
      <c r="A34" t="s">
        <v>81</v>
      </c>
    </row>
    <row r="35" spans="1:1" x14ac:dyDescent="0.25">
      <c r="A35" t="s">
        <v>82</v>
      </c>
    </row>
    <row r="36" spans="1:1" x14ac:dyDescent="0.25">
      <c r="A36" t="s">
        <v>83</v>
      </c>
    </row>
    <row r="37" spans="1:1" x14ac:dyDescent="0.25">
      <c r="A37" t="s">
        <v>84</v>
      </c>
    </row>
    <row r="38" spans="1:1" x14ac:dyDescent="0.25">
      <c r="A38" t="s">
        <v>85</v>
      </c>
    </row>
    <row r="39" spans="1:1" x14ac:dyDescent="0.25">
      <c r="A39" t="s">
        <v>86</v>
      </c>
    </row>
    <row r="40" spans="1:1" x14ac:dyDescent="0.25">
      <c r="A40" t="s">
        <v>87</v>
      </c>
    </row>
    <row r="41" spans="1:1" x14ac:dyDescent="0.25">
      <c r="A41" t="s">
        <v>88</v>
      </c>
    </row>
    <row r="42" spans="1:1" x14ac:dyDescent="0.25">
      <c r="A42" t="s">
        <v>89</v>
      </c>
    </row>
    <row r="43" spans="1:1" x14ac:dyDescent="0.25">
      <c r="A43" t="s">
        <v>90</v>
      </c>
    </row>
    <row r="44" spans="1:1" x14ac:dyDescent="0.25">
      <c r="A44" t="s">
        <v>91</v>
      </c>
    </row>
    <row r="45" spans="1:1" x14ac:dyDescent="0.25">
      <c r="A45" t="s">
        <v>92</v>
      </c>
    </row>
    <row r="46" spans="1:1" x14ac:dyDescent="0.25">
      <c r="A46" t="s">
        <v>93</v>
      </c>
    </row>
    <row r="47" spans="1:1" x14ac:dyDescent="0.25">
      <c r="A47" t="s">
        <v>94</v>
      </c>
    </row>
    <row r="48" spans="1:1" x14ac:dyDescent="0.25">
      <c r="A48" t="s">
        <v>95</v>
      </c>
    </row>
    <row r="49" spans="1:1" x14ac:dyDescent="0.25">
      <c r="A49" t="s">
        <v>96</v>
      </c>
    </row>
    <row r="50" spans="1:1" x14ac:dyDescent="0.25">
      <c r="A50" t="s">
        <v>97</v>
      </c>
    </row>
    <row r="51" spans="1:1" x14ac:dyDescent="0.25">
      <c r="A51" t="s">
        <v>98</v>
      </c>
    </row>
    <row r="52" spans="1:1" x14ac:dyDescent="0.25">
      <c r="A52" t="s">
        <v>99</v>
      </c>
    </row>
    <row r="53" spans="1:1" x14ac:dyDescent="0.25">
      <c r="A53" t="s">
        <v>100</v>
      </c>
    </row>
    <row r="54" spans="1:1" x14ac:dyDescent="0.25">
      <c r="A54" t="s">
        <v>101</v>
      </c>
    </row>
    <row r="55" spans="1:1" x14ac:dyDescent="0.25">
      <c r="A55" t="s">
        <v>102</v>
      </c>
    </row>
    <row r="56" spans="1:1" x14ac:dyDescent="0.25">
      <c r="A56" t="s">
        <v>103</v>
      </c>
    </row>
    <row r="57" spans="1:1" x14ac:dyDescent="0.25">
      <c r="A57" t="s">
        <v>104</v>
      </c>
    </row>
    <row r="58" spans="1:1" x14ac:dyDescent="0.25">
      <c r="A58" t="s">
        <v>105</v>
      </c>
    </row>
    <row r="59" spans="1:1" x14ac:dyDescent="0.25">
      <c r="A59" t="s">
        <v>106</v>
      </c>
    </row>
    <row r="60" spans="1:1" x14ac:dyDescent="0.25">
      <c r="A60" t="s">
        <v>107</v>
      </c>
    </row>
    <row r="61" spans="1:1" x14ac:dyDescent="0.25">
      <c r="A6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perfil del consumidor </vt:lpstr>
      <vt:lpstr>evaluación sensorial</vt:lpstr>
      <vt:lpstr>percepcion comercial, precios y</vt:lpstr>
      <vt:lpstr>Comentarios y cierre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J.M. CARRIÓN</dc:creator>
  <cp:lastModifiedBy>Brandon Said Salas Santiago</cp:lastModifiedBy>
  <dcterms:created xsi:type="dcterms:W3CDTF">2026-06-02T19:58:17Z</dcterms:created>
  <dcterms:modified xsi:type="dcterms:W3CDTF">2026-06-05T01:46:16Z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2026-05-25T00:00:00Z</vt:filetime>
  </property>
  <property fmtid="{D5CDD505-2E9C-101B-9397-08002B2CF9AE}" pid="4" name="Creator">
    <vt:lpwstr>Microsoft® Word para Microsoft 365</vt:lpwstr>
  </property>
  <property fmtid="{D5CDD505-2E9C-101B-9397-08002B2CF9AE}" pid="5" name="LastSaved">
    <vt:filetime>2026-06-02T00:00:00Z</vt:filetime>
  </property>
  <property fmtid="{D5CDD505-2E9C-101B-9397-08002B2CF9AE}" pid="6" name="Producer">
    <vt:lpwstr>Microsoft® Word para Microsoft 365</vt:lpwstr>
  </property>
</Properties>
</file>